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nexcelwll-my.sharepoint.com/personal/raza_nexcel_me/Documents/Projects 2026/2026 - Talabat/Hidd/"/>
    </mc:Choice>
  </mc:AlternateContent>
  <xr:revisionPtr revIDLastSave="136" documentId="13_ncr:1_{942C71CD-5CD2-4B06-B807-35A12783E8FE}" xr6:coauthVersionLast="47" xr6:coauthVersionMax="47" xr10:uidLastSave="{1864D25C-8F57-48F2-849D-D476752F8A02}"/>
  <bookViews>
    <workbookView xWindow="-28920" yWindow="-120" windowWidth="29040" windowHeight="15720" xr2:uid="{00000000-000D-0000-FFFF-FFFF00000000}"/>
  </bookViews>
  <sheets>
    <sheet name="IT BOQ- Hidd -sound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4" i="1" l="1"/>
  <c r="F43" i="1"/>
  <c r="F42" i="1"/>
  <c r="F20" i="1" l="1"/>
  <c r="F19" i="1"/>
  <c r="F18" i="1"/>
  <c r="F17" i="1"/>
  <c r="F16" i="1"/>
  <c r="F15" i="1"/>
  <c r="F14" i="1"/>
  <c r="F13" i="1"/>
  <c r="F12" i="1"/>
  <c r="F11" i="1"/>
  <c r="F10" i="1"/>
  <c r="F9" i="1"/>
  <c r="F8" i="1"/>
  <c r="F7" i="1"/>
  <c r="F61" i="1" s="1"/>
  <c r="F6" i="1"/>
  <c r="F5" i="1"/>
  <c r="F4" i="1"/>
  <c r="F3" i="1"/>
  <c r="F57" i="1"/>
  <c r="F56" i="1"/>
  <c r="F55" i="1"/>
  <c r="F53" i="1"/>
  <c r="F52" i="1"/>
  <c r="F51" i="1"/>
  <c r="F50" i="1"/>
  <c r="F49" i="1"/>
  <c r="F48" i="1"/>
  <c r="F46" i="1"/>
  <c r="F45" i="1"/>
  <c r="F41" i="1"/>
  <c r="F39" i="1"/>
  <c r="F38" i="1"/>
  <c r="F37" i="1"/>
  <c r="F36" i="1"/>
  <c r="F35" i="1"/>
  <c r="F34" i="1"/>
  <c r="F33" i="1"/>
  <c r="F32" i="1"/>
  <c r="F31" i="1"/>
  <c r="F30" i="1"/>
  <c r="F29" i="1"/>
  <c r="F28" i="1"/>
  <c r="F27" i="1"/>
  <c r="F26" i="1"/>
  <c r="F25" i="1"/>
  <c r="F24" i="1"/>
  <c r="F23" i="1"/>
  <c r="F22" i="1"/>
</calcChain>
</file>

<file path=xl/sharedStrings.xml><?xml version="1.0" encoding="utf-8"?>
<sst xmlns="http://schemas.openxmlformats.org/spreadsheetml/2006/main" count="124" uniqueCount="113">
  <si>
    <t>Store Items</t>
  </si>
  <si>
    <t>#</t>
  </si>
  <si>
    <t>Item</t>
  </si>
  <si>
    <t>Item Description</t>
  </si>
  <si>
    <t>Required</t>
  </si>
  <si>
    <t>Unit Price</t>
  </si>
  <si>
    <t>Total</t>
  </si>
  <si>
    <t>IT comments</t>
  </si>
  <si>
    <t>Store PC</t>
  </si>
  <si>
    <t>Desktop CPU ultra 7 , PRO TOWER
16 GB,512GB M.2 SSD, 3 Year pro support
Warranty, separate 2 GB Graphics 2 HDMI,, Windows 11 pro</t>
  </si>
  <si>
    <t>PC Monitor</t>
  </si>
  <si>
    <t>Dell P27 series , one HDMI port, one display port similar to P2725H</t>
  </si>
  <si>
    <t>Laptop</t>
  </si>
  <si>
    <t>Lenovo ThinkPad E16 Gen3 Intel Core Ultra 7-255H, 16GB DDR5, 512GB SSD, Integrated Intel Arc Graphics, 16″ WUXGA IPS 300nits 45% NTSC, Non-Touch, KYB Backlit English(UK) w/NumPad, Fingerprint Reader, Win 11 pro, – 21SR0017GP</t>
  </si>
  <si>
    <t>Store Printer</t>
  </si>
  <si>
    <t>Epson Printer workforce Pro WF-M5899DWF</t>
  </si>
  <si>
    <t>Printer Toner XXL</t>
  </si>
  <si>
    <t>EPSON PRINTER TONER – WF-M5899-XXL Part number# C13T12F149</t>
  </si>
  <si>
    <t>price to be quoted later for this</t>
  </si>
  <si>
    <t>Thermal Printer</t>
  </si>
  <si>
    <t>Epson Thermal Printer TM-T88VII</t>
  </si>
  <si>
    <t>TV for CCTV</t>
  </si>
  <si>
    <t>65 inch 4K SMART TV Samsung QM65C 65in UHD Prof Display LH65QMCEBGCXUE</t>
  </si>
  <si>
    <t xml:space="preserve"> for live CCTV </t>
  </si>
  <si>
    <t>TV for Dispatch</t>
  </si>
  <si>
    <t>55 inch 4K SMART TV andriod model 2025 TCL 55inch P7K 4K QLED Google Television (2025 Model)</t>
  </si>
  <si>
    <t>for Dispatch area</t>
  </si>
  <si>
    <t>Scanner Epson</t>
  </si>
  <si>
    <t>Epson Scanner Workforce DS-790WN with network -  USB 3.0</t>
  </si>
  <si>
    <t>HDMI Extender</t>
  </si>
  <si>
    <t>120m or more Ethernet HDMI 4k extender KVM 2 input with remote to switch</t>
  </si>
  <si>
    <t>TV Ceiling mount</t>
  </si>
  <si>
    <t>TV adjustable  65 inch celling stand mount for item#6</t>
  </si>
  <si>
    <t>TV wall stand</t>
  </si>
  <si>
    <t>TV 55 inch adjustable stand wall mount for item#7</t>
  </si>
  <si>
    <t>Biometric</t>
  </si>
  <si>
    <t>ZKTeco SpeedFace-V5L[P]</t>
  </si>
  <si>
    <t>Landline</t>
  </si>
  <si>
    <t>landline with handheld wireless phone charger ( panasonic- 2 handheld model wireless) KX-TG6712 UK plug</t>
  </si>
  <si>
    <t>HDMI cable</t>
  </si>
  <si>
    <t>HDMI cable 1 M</t>
  </si>
  <si>
    <t>HDMI Cable</t>
  </si>
  <si>
    <t>HDMI cable 3 M</t>
  </si>
  <si>
    <t>Printer USB cable</t>
  </si>
  <si>
    <t>printer USB 3.0 cable 3m</t>
  </si>
  <si>
    <t>Mouse</t>
  </si>
  <si>
    <t>Wired Mouse Dell with Mouse PAD</t>
  </si>
  <si>
    <t>Network Items</t>
  </si>
  <si>
    <t>Cable</t>
  </si>
  <si>
    <t>Cat.6 UTP Lan Cable 305M 10 Blue, 2 yellow, 2 gray  Box,2 Black Box final quantity will be based on usage</t>
  </si>
  <si>
    <t>Patch Panel</t>
  </si>
  <si>
    <t>Patch Panel Cat.6 24 Ports with Inline Keystore Coupler patch pannel</t>
  </si>
  <si>
    <t>Patch Cord UTP Cat.6 0.5m blue 80 0.5 m and 20 1m</t>
  </si>
  <si>
    <t>Patch Cord UTP Cat.6 10 0.5m and 10 1 m red</t>
  </si>
  <si>
    <t>Patch Cord UTP Cat.6 0.5m  and 10 1 m orange or yellow</t>
  </si>
  <si>
    <t>Patch Cord UTP Cat.6 6 0.5m and 6 1m white</t>
  </si>
  <si>
    <t xml:space="preserve"> Patch cord UTP cat 6 gray 10 0.5 m , 10 1m, 10 2 m, 5 3 m</t>
  </si>
  <si>
    <t>Fiber patchcord</t>
  </si>
  <si>
    <t>Fiber patch cord Multi Mode 1 m, 2 m</t>
  </si>
  <si>
    <t>Finossel Cable Management Shelf Port: 24, Scope of Application: 42U, 
Material: Brush Type</t>
  </si>
  <si>
    <t>Faceplatte dual ports + 2x Keystone + Wall box + junction box</t>
  </si>
  <si>
    <t>GI</t>
  </si>
  <si>
    <t>Supply and install GI Pipes, trunk (100x100), GI junction box and tray accessories (bahrain Civil defense approved)  , 80 camera, 12 datapoint and 10 APs</t>
  </si>
  <si>
    <t>PVC</t>
  </si>
  <si>
    <t>supply and install PVC Pipe ,PVC trunk, PVC junction BOX, bahrain Civil defense approved</t>
  </si>
  <si>
    <t>UPS</t>
  </si>
  <si>
    <t>3KVA SMART Online UPS Rack-mount 
220/230/240VAC,50/60Hz, 96 VDC, LONG -Model: SRT3000XLI With APC Rack Tray</t>
  </si>
  <si>
    <t>APC Smart-UPS On-Line SRT Battery Pack for 3kVA Extended for model: SRT3000XLI
runtime model 96V + APC Rack Tray</t>
  </si>
  <si>
    <t>UPS Card</t>
  </si>
  <si>
    <t>APC UPS Network Management Card 3
with 2 USB ports and Temperature
Monitoring, (AP9641) compatible with model: SRT3000XLI</t>
  </si>
  <si>
    <t>PDU</t>
  </si>
  <si>
    <t>PDU Rackmountable 13A Plug PDU-E08V-M1U-B1.5-16A - 7 Socket- connect direct to UPS C14</t>
  </si>
  <si>
    <t>Rack</t>
  </si>
  <si>
    <t>42 Unit Server Rack 800x1000 Finossel  back side double door+Cage nuts+ Extra 4 shelves ( 2 half shelves, 2 full shelves) with installation</t>
  </si>
  <si>
    <t>CCTV items</t>
  </si>
  <si>
    <t>NVR Screen</t>
  </si>
  <si>
    <t>Hikvission monitor 21 inch for NVR + VGA Cable</t>
  </si>
  <si>
    <t>Camera dome</t>
  </si>
  <si>
    <t>Hik-Vision DS-2CD1743G2-LIZU
4 MP Dual light MD 2.0 Varifocal Dome network camera</t>
  </si>
  <si>
    <t>Camera bullet</t>
  </si>
  <si>
    <t>Hik-Vision DS-2CD3661G2-LIZSU (2.7-
13.5mm)
6 MP smart Hybrid light motion 2.0 varifocal bullet network camera</t>
  </si>
  <si>
    <t>Cold Room Cam</t>
  </si>
  <si>
    <t>iDS-2CD7146G2-IZHSY
4MP DeepinView Moto Varifocal Dome Camera -( Freezer Room Cam )</t>
  </si>
  <si>
    <t>GI Box 4x4</t>
  </si>
  <si>
    <t>Camera box for outdoor bullet cameras &amp; box dome cameras + water proof box outside camera GI Metal</t>
  </si>
  <si>
    <t>Camera Stand</t>
  </si>
  <si>
    <t>Camera Bracket  (POLES) (stand) adjustable size as per camera location requirement Range straight and\or telesopic</t>
  </si>
  <si>
    <t>Sound System</t>
  </si>
  <si>
    <t>Amplifier</t>
  </si>
  <si>
    <t>T-120DTB ( RACK MOUNT)
RMS 120 W Class D Mixer Amplifier with MP3(USB/SD)/TUNER
and bluetooth,built in MIC1 &amp; Line 1 input recorder function,
1EMC input2AUX input, 4 Phonejack MIC input (1U, Rack
mount), with 100V &amp; 4-16Ω output ( RACK MOUNT)</t>
  </si>
  <si>
    <t>Speaker</t>
  </si>
  <si>
    <t>3 to 6 watt celling speaker with BOX</t>
  </si>
  <si>
    <t>Mic</t>
  </si>
  <si>
    <t>Volume Control</t>
  </si>
  <si>
    <t>T-675
Volume Control 100W</t>
  </si>
  <si>
    <t>Speaker Cable</t>
  </si>
  <si>
    <t>1.5 MM Speaker Cable Roll (93 Meters)</t>
  </si>
  <si>
    <t>Mic Cable</t>
  </si>
  <si>
    <t>Micropohne professinal cable roll (99 M)</t>
  </si>
  <si>
    <t>Installation</t>
  </si>
  <si>
    <t>Installation of 100 cameras with stands, 12 APs with stands, 12 data ports (Dual), biometric machine, landline,
and assembly of full server rack with accessories installation and professional Cable Management
- Labeling (Vinyl - Sticker) all devices and cables from both end. camera serial both end
- Installation of PC, printer, scanner,TV and other IT equipments.
- Crimbing, termination , testing and commissioning,
- Demo for each camera after installation
- installation of landline and cabling
- meeting and site visit required for planning Implementation
- NVR and camera firmware latest update, activation sound recording for 10 camera</t>
  </si>
  <si>
    <t>Sound System
 installation</t>
  </si>
  <si>
    <t>Supply and install Sound system including setup, configuration, testing - 
1 Volume controller and 1 mic supervisor area ( Soldering), amplifier in IT room</t>
  </si>
  <si>
    <t>support term</t>
  </si>
  <si>
    <t>Site visit for any device failure on above supplied hardware
 for a period of 1 year. Hardware will be covered 
under warranty within first or second day including replacement</t>
  </si>
  <si>
    <t>General term</t>
  </si>
  <si>
    <t>working hour will be decide from tmart Management, Site visit require during work progress, 
meeting with management for progress report and update</t>
  </si>
  <si>
    <t xml:space="preserve">Delay Penalty
</t>
  </si>
  <si>
    <t xml:space="preserve">"Delay Penalty: If the Supplier fails to deliver any items or completed the required 
work by the Delivery Date, and such delay is not due to force majeure or caused by us,
 the following penalties shall be applicable :
A penalty of [%2] of the total PO value per calendar day of delay, up to a maximum 
of 100% of the total PO value.
If the delay penalty reaches 100% of the PO total value or exceeds [15] calendar days, 
we reserve the right to cancel the PO in whole or in part without penalty and to procure 
the items from an alternate supplier at the Supplier’s expense and risk."
</t>
  </si>
  <si>
    <t>2% per day delay</t>
  </si>
  <si>
    <t>Timeline</t>
  </si>
  <si>
    <t>all work need to be completed within 2 week after receving PO, all items delievered within 2 week as well</t>
  </si>
  <si>
    <t>T-621A
Condenser tabletop microphone, with chime. Transducer mode: electret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</si>
</sst>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4"/>
      <color theme="1"/>
      <name val="Arial"/>
    </font>
    <font>
      <sz val="10"/>
      <color theme="1"/>
      <name val="Arial"/>
    </font>
    <font>
      <sz val="10"/>
      <color rgb="FFFFFFFF"/>
      <name val="Arial"/>
    </font>
    <font>
      <sz val="10"/>
      <color theme="1"/>
      <name val="Arial"/>
      <scheme val="minor"/>
    </font>
    <font>
      <sz val="10"/>
      <color rgb="FF000000"/>
      <name val="Arial"/>
      <family val="2"/>
      <scheme val="minor"/>
    </font>
  </fonts>
  <fills count="5">
    <fill>
      <patternFill patternType="none"/>
    </fill>
    <fill>
      <patternFill patternType="gray125"/>
    </fill>
    <fill>
      <patternFill patternType="solid">
        <fgColor rgb="FFFF6D01"/>
        <bgColor rgb="FFFF6D01"/>
      </patternFill>
    </fill>
    <fill>
      <patternFill patternType="solid">
        <fgColor rgb="FF4285F4"/>
        <bgColor rgb="FF4285F4"/>
      </patternFill>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3" fillId="3" borderId="0" xfId="0" applyFont="1" applyFill="1" applyAlignment="1">
      <alignment horizontal="center"/>
    </xf>
    <xf numFmtId="0" fontId="2" fillId="0" borderId="0" xfId="0" applyFont="1" applyAlignment="1">
      <alignment horizontal="center"/>
    </xf>
    <xf numFmtId="0" fontId="4" fillId="0" borderId="0" xfId="0" applyFont="1"/>
    <xf numFmtId="0" fontId="2"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wrapText="1"/>
    </xf>
    <xf numFmtId="0" fontId="4" fillId="0" borderId="0" xfId="0" applyFont="1" applyAlignment="1">
      <alignment wrapText="1"/>
    </xf>
    <xf numFmtId="0" fontId="0" fillId="4" borderId="0" xfId="0" applyFill="1"/>
    <xf numFmtId="0" fontId="5" fillId="0" borderId="0" xfId="0" applyFont="1" applyAlignment="1">
      <alignment horizontal="center" wrapText="1"/>
    </xf>
    <xf numFmtId="0" fontId="3" fillId="3" borderId="0" xfId="0" applyFont="1" applyFill="1" applyAlignment="1">
      <alignment horizontal="center" wrapText="1"/>
    </xf>
    <xf numFmtId="0" fontId="4" fillId="0" borderId="0" xfId="0" applyFont="1" applyAlignment="1">
      <alignment horizontal="center" wrapText="1"/>
    </xf>
    <xf numFmtId="0" fontId="4" fillId="4" borderId="0" xfId="0" applyFont="1" applyFill="1" applyAlignment="1">
      <alignment wrapText="1"/>
    </xf>
    <xf numFmtId="0" fontId="0" fillId="0" borderId="0" xfId="0" applyAlignment="1">
      <alignment wrapText="1"/>
    </xf>
    <xf numFmtId="0" fontId="3" fillId="3" borderId="0" xfId="0" applyFont="1" applyFill="1" applyAlignment="1">
      <alignment horizontal="center" vertical="center"/>
    </xf>
    <xf numFmtId="0" fontId="5" fillId="0" borderId="0" xfId="0" applyFont="1" applyAlignment="1">
      <alignment horizontal="center" vertical="center" wrapText="1"/>
    </xf>
    <xf numFmtId="0" fontId="4" fillId="4" borderId="0" xfId="0" applyFont="1" applyFill="1" applyAlignment="1">
      <alignment horizontal="center" vertical="center"/>
    </xf>
    <xf numFmtId="0" fontId="0" fillId="0" borderId="0" xfId="0" applyAlignment="1">
      <alignment horizontal="center" vertical="center"/>
    </xf>
    <xf numFmtId="0" fontId="1" fillId="2" borderId="0" xfId="0" applyFont="1" applyFill="1" applyAlignment="1">
      <alignment horizontal="center"/>
    </xf>
    <xf numFmtId="0" fontId="0" fillId="0" borderId="0" xfId="0"/>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1"/>
  <sheetViews>
    <sheetView tabSelected="1" workbookViewId="0">
      <pane ySplit="2" topLeftCell="A55" activePane="bottomLeft" state="frozen"/>
      <selection pane="bottomLeft" activeCell="F62" sqref="F62"/>
    </sheetView>
  </sheetViews>
  <sheetFormatPr defaultColWidth="12.7109375" defaultRowHeight="15.75" customHeight="1" x14ac:dyDescent="0.2"/>
  <cols>
    <col min="2" max="2" width="24.5703125" style="18" bestFit="1" customWidth="1"/>
    <col min="3" max="3" width="81.28515625" style="14" customWidth="1"/>
    <col min="4" max="6" width="20.85546875" customWidth="1"/>
    <col min="7" max="7" width="15.7109375" customWidth="1"/>
  </cols>
  <sheetData>
    <row r="1" spans="1:7" ht="15.75" customHeight="1" x14ac:dyDescent="0.25">
      <c r="A1" s="19" t="s">
        <v>0</v>
      </c>
      <c r="B1" s="20"/>
      <c r="C1" s="20"/>
      <c r="D1" s="1"/>
      <c r="E1" s="1"/>
      <c r="F1" s="1"/>
    </row>
    <row r="2" spans="1:7" ht="12.75" x14ac:dyDescent="0.2">
      <c r="A2" s="2" t="s">
        <v>1</v>
      </c>
      <c r="B2" s="15" t="s">
        <v>2</v>
      </c>
      <c r="C2" s="11" t="s">
        <v>3</v>
      </c>
      <c r="D2" s="2" t="s">
        <v>4</v>
      </c>
      <c r="E2" s="2" t="s">
        <v>5</v>
      </c>
      <c r="F2" s="2" t="s">
        <v>6</v>
      </c>
      <c r="G2" s="2" t="s">
        <v>7</v>
      </c>
    </row>
    <row r="3" spans="1:7" ht="38.25" x14ac:dyDescent="0.2">
      <c r="A3" s="3">
        <v>1</v>
      </c>
      <c r="B3" s="5" t="s">
        <v>8</v>
      </c>
      <c r="C3" s="7" t="s">
        <v>9</v>
      </c>
      <c r="D3" s="3">
        <v>1</v>
      </c>
      <c r="E3" s="3">
        <v>370</v>
      </c>
      <c r="F3" s="3">
        <f>E3*D3</f>
        <v>370</v>
      </c>
    </row>
    <row r="4" spans="1:7" ht="12.75" x14ac:dyDescent="0.2">
      <c r="A4" s="3">
        <v>2</v>
      </c>
      <c r="B4" s="5" t="s">
        <v>10</v>
      </c>
      <c r="C4" s="7" t="s">
        <v>11</v>
      </c>
      <c r="D4" s="3">
        <v>2</v>
      </c>
      <c r="E4" s="3">
        <v>69</v>
      </c>
      <c r="F4" s="3">
        <f t="shared" ref="F4:F20" si="0">E4*D4</f>
        <v>138</v>
      </c>
    </row>
    <row r="5" spans="1:7" ht="38.25" x14ac:dyDescent="0.2">
      <c r="A5" s="3">
        <v>3</v>
      </c>
      <c r="B5" s="5" t="s">
        <v>12</v>
      </c>
      <c r="C5" s="7" t="s">
        <v>13</v>
      </c>
      <c r="D5" s="3">
        <v>2</v>
      </c>
      <c r="E5" s="3">
        <v>395</v>
      </c>
      <c r="F5" s="3">
        <f t="shared" si="0"/>
        <v>790</v>
      </c>
    </row>
    <row r="6" spans="1:7" ht="12.75" x14ac:dyDescent="0.2">
      <c r="A6" s="3">
        <v>4</v>
      </c>
      <c r="B6" s="5" t="s">
        <v>14</v>
      </c>
      <c r="C6" s="7" t="s">
        <v>15</v>
      </c>
      <c r="D6" s="3">
        <v>2</v>
      </c>
      <c r="E6" s="3">
        <v>145</v>
      </c>
      <c r="F6" s="3">
        <f t="shared" si="0"/>
        <v>290</v>
      </c>
    </row>
    <row r="7" spans="1:7" ht="12.75" x14ac:dyDescent="0.2">
      <c r="A7" s="3">
        <v>5</v>
      </c>
      <c r="B7" s="5" t="s">
        <v>16</v>
      </c>
      <c r="C7" s="7" t="s">
        <v>17</v>
      </c>
      <c r="D7" s="3">
        <v>1</v>
      </c>
      <c r="E7" s="3">
        <v>65</v>
      </c>
      <c r="F7" s="3">
        <f t="shared" si="0"/>
        <v>65</v>
      </c>
      <c r="G7" t="s">
        <v>18</v>
      </c>
    </row>
    <row r="8" spans="1:7" ht="12.75" x14ac:dyDescent="0.2">
      <c r="A8" s="3">
        <v>6</v>
      </c>
      <c r="B8" s="5" t="s">
        <v>19</v>
      </c>
      <c r="C8" s="7" t="s">
        <v>20</v>
      </c>
      <c r="D8" s="3">
        <v>1</v>
      </c>
      <c r="E8" s="3">
        <v>120</v>
      </c>
      <c r="F8" s="3">
        <f t="shared" si="0"/>
        <v>120</v>
      </c>
    </row>
    <row r="9" spans="1:7" ht="12.75" x14ac:dyDescent="0.2">
      <c r="A9" s="3">
        <v>7</v>
      </c>
      <c r="B9" s="5" t="s">
        <v>21</v>
      </c>
      <c r="C9" s="7" t="s">
        <v>22</v>
      </c>
      <c r="D9" s="3">
        <v>1</v>
      </c>
      <c r="E9" s="3">
        <v>310</v>
      </c>
      <c r="F9" s="3">
        <f t="shared" si="0"/>
        <v>310</v>
      </c>
      <c r="G9" s="1" t="s">
        <v>23</v>
      </c>
    </row>
    <row r="10" spans="1:7" ht="25.5" x14ac:dyDescent="0.2">
      <c r="A10" s="3">
        <v>8</v>
      </c>
      <c r="B10" s="5" t="s">
        <v>24</v>
      </c>
      <c r="C10" s="7" t="s">
        <v>25</v>
      </c>
      <c r="D10" s="3">
        <v>1</v>
      </c>
      <c r="E10" s="3">
        <v>169</v>
      </c>
      <c r="F10" s="3">
        <f t="shared" si="0"/>
        <v>169</v>
      </c>
      <c r="G10" s="1" t="s">
        <v>26</v>
      </c>
    </row>
    <row r="11" spans="1:7" ht="12.75" x14ac:dyDescent="0.2">
      <c r="A11" s="3">
        <v>9</v>
      </c>
      <c r="B11" s="5" t="s">
        <v>27</v>
      </c>
      <c r="C11" s="7" t="s">
        <v>28</v>
      </c>
      <c r="D11" s="3">
        <v>1</v>
      </c>
      <c r="E11" s="3">
        <v>245</v>
      </c>
      <c r="F11" s="3">
        <f t="shared" si="0"/>
        <v>245</v>
      </c>
    </row>
    <row r="12" spans="1:7" ht="12.75" x14ac:dyDescent="0.2">
      <c r="A12" s="3">
        <v>10</v>
      </c>
      <c r="B12" s="5" t="s">
        <v>29</v>
      </c>
      <c r="C12" s="7" t="s">
        <v>30</v>
      </c>
      <c r="D12" s="3">
        <v>2</v>
      </c>
      <c r="E12" s="3">
        <v>35</v>
      </c>
      <c r="F12" s="3">
        <f t="shared" si="0"/>
        <v>70</v>
      </c>
    </row>
    <row r="13" spans="1:7" ht="12.75" x14ac:dyDescent="0.2">
      <c r="A13" s="3">
        <v>11</v>
      </c>
      <c r="B13" s="5" t="s">
        <v>31</v>
      </c>
      <c r="C13" s="7" t="s">
        <v>32</v>
      </c>
      <c r="D13" s="3">
        <v>1</v>
      </c>
      <c r="E13" s="3">
        <v>40</v>
      </c>
      <c r="F13" s="3">
        <f t="shared" si="0"/>
        <v>40</v>
      </c>
    </row>
    <row r="14" spans="1:7" ht="12.75" x14ac:dyDescent="0.2">
      <c r="A14" s="3">
        <v>12</v>
      </c>
      <c r="B14" s="5" t="s">
        <v>33</v>
      </c>
      <c r="C14" s="7" t="s">
        <v>34</v>
      </c>
      <c r="D14" s="3">
        <v>1</v>
      </c>
      <c r="E14" s="3">
        <v>40</v>
      </c>
      <c r="F14" s="3">
        <f t="shared" si="0"/>
        <v>40</v>
      </c>
    </row>
    <row r="15" spans="1:7" ht="12.75" x14ac:dyDescent="0.2">
      <c r="A15" s="3">
        <v>13</v>
      </c>
      <c r="B15" s="5" t="s">
        <v>35</v>
      </c>
      <c r="C15" s="7" t="s">
        <v>36</v>
      </c>
      <c r="D15" s="3">
        <v>1</v>
      </c>
      <c r="E15" s="3">
        <v>99</v>
      </c>
      <c r="F15" s="3">
        <f t="shared" si="0"/>
        <v>99</v>
      </c>
    </row>
    <row r="16" spans="1:7" ht="25.5" x14ac:dyDescent="0.2">
      <c r="A16" s="3">
        <v>14</v>
      </c>
      <c r="B16" s="5" t="s">
        <v>37</v>
      </c>
      <c r="C16" s="7" t="s">
        <v>38</v>
      </c>
      <c r="D16" s="3">
        <v>1</v>
      </c>
      <c r="E16" s="3">
        <v>29</v>
      </c>
      <c r="F16" s="3">
        <f t="shared" si="0"/>
        <v>29</v>
      </c>
    </row>
    <row r="17" spans="1:6" ht="12.75" x14ac:dyDescent="0.2">
      <c r="A17" s="3">
        <v>15</v>
      </c>
      <c r="B17" s="5" t="s">
        <v>39</v>
      </c>
      <c r="C17" s="7" t="s">
        <v>40</v>
      </c>
      <c r="D17" s="3">
        <v>4</v>
      </c>
      <c r="E17" s="3">
        <v>3.5</v>
      </c>
      <c r="F17" s="3">
        <f t="shared" si="0"/>
        <v>14</v>
      </c>
    </row>
    <row r="18" spans="1:6" ht="12.75" x14ac:dyDescent="0.2">
      <c r="A18" s="3">
        <v>16</v>
      </c>
      <c r="B18" s="5" t="s">
        <v>41</v>
      </c>
      <c r="C18" s="7" t="s">
        <v>42</v>
      </c>
      <c r="D18" s="3">
        <v>4</v>
      </c>
      <c r="E18" s="3">
        <v>7</v>
      </c>
      <c r="F18" s="3">
        <f t="shared" si="0"/>
        <v>28</v>
      </c>
    </row>
    <row r="19" spans="1:6" ht="12.75" x14ac:dyDescent="0.2">
      <c r="A19" s="3">
        <v>17</v>
      </c>
      <c r="B19" s="5" t="s">
        <v>43</v>
      </c>
      <c r="C19" s="7" t="s">
        <v>44</v>
      </c>
      <c r="D19" s="3">
        <v>3</v>
      </c>
      <c r="E19" s="3">
        <v>3</v>
      </c>
      <c r="F19" s="3">
        <f t="shared" si="0"/>
        <v>9</v>
      </c>
    </row>
    <row r="20" spans="1:6" ht="12.75" x14ac:dyDescent="0.2">
      <c r="A20" s="3">
        <v>18</v>
      </c>
      <c r="B20" s="5" t="s">
        <v>45</v>
      </c>
      <c r="C20" s="7" t="s">
        <v>46</v>
      </c>
      <c r="D20" s="3">
        <v>10</v>
      </c>
      <c r="E20" s="3">
        <v>4.5</v>
      </c>
      <c r="F20" s="3">
        <f t="shared" si="0"/>
        <v>45</v>
      </c>
    </row>
    <row r="21" spans="1:6" ht="15.75" customHeight="1" x14ac:dyDescent="0.25">
      <c r="A21" s="19" t="s">
        <v>47</v>
      </c>
      <c r="B21" s="20"/>
      <c r="C21" s="20"/>
      <c r="D21" s="20"/>
    </row>
    <row r="22" spans="1:6" ht="25.5" x14ac:dyDescent="0.2">
      <c r="A22" s="3">
        <v>19</v>
      </c>
      <c r="B22" s="5" t="s">
        <v>48</v>
      </c>
      <c r="C22" s="7" t="s">
        <v>49</v>
      </c>
      <c r="D22" s="3">
        <v>16</v>
      </c>
      <c r="E22" s="3">
        <v>42</v>
      </c>
      <c r="F22" s="3">
        <f t="shared" ref="F22:F39" si="1">E22*D22</f>
        <v>672</v>
      </c>
    </row>
    <row r="23" spans="1:6" ht="12.75" x14ac:dyDescent="0.2">
      <c r="A23" s="3">
        <v>20</v>
      </c>
      <c r="B23" s="5" t="s">
        <v>50</v>
      </c>
      <c r="C23" s="7" t="s">
        <v>51</v>
      </c>
      <c r="D23" s="3">
        <v>8</v>
      </c>
      <c r="E23" s="3">
        <v>39</v>
      </c>
      <c r="F23" s="3">
        <f t="shared" si="1"/>
        <v>312</v>
      </c>
    </row>
    <row r="24" spans="1:6" ht="12.75" x14ac:dyDescent="0.2">
      <c r="A24" s="3">
        <v>21</v>
      </c>
      <c r="B24" s="5" t="s">
        <v>48</v>
      </c>
      <c r="C24" s="7" t="s">
        <v>52</v>
      </c>
      <c r="D24" s="3">
        <v>90</v>
      </c>
      <c r="E24" s="3">
        <v>0.6</v>
      </c>
      <c r="F24" s="3">
        <f t="shared" si="1"/>
        <v>54</v>
      </c>
    </row>
    <row r="25" spans="1:6" ht="12.75" x14ac:dyDescent="0.2">
      <c r="A25" s="3">
        <v>22</v>
      </c>
      <c r="B25" s="5" t="s">
        <v>48</v>
      </c>
      <c r="C25" s="7" t="s">
        <v>53</v>
      </c>
      <c r="D25" s="3">
        <v>20</v>
      </c>
      <c r="E25" s="3">
        <v>0.6</v>
      </c>
      <c r="F25" s="3">
        <f t="shared" si="1"/>
        <v>12</v>
      </c>
    </row>
    <row r="26" spans="1:6" ht="12.75" x14ac:dyDescent="0.2">
      <c r="A26" s="3">
        <v>23</v>
      </c>
      <c r="B26" s="5" t="s">
        <v>48</v>
      </c>
      <c r="C26" s="7" t="s">
        <v>54</v>
      </c>
      <c r="D26" s="3">
        <v>20</v>
      </c>
      <c r="E26" s="3">
        <v>0.6</v>
      </c>
      <c r="F26" s="3">
        <f t="shared" si="1"/>
        <v>12</v>
      </c>
    </row>
    <row r="27" spans="1:6" ht="12.75" x14ac:dyDescent="0.2">
      <c r="A27" s="3">
        <v>24</v>
      </c>
      <c r="B27" s="5" t="s">
        <v>48</v>
      </c>
      <c r="C27" s="7" t="s">
        <v>55</v>
      </c>
      <c r="D27" s="3">
        <v>12</v>
      </c>
      <c r="E27" s="3">
        <v>0.6</v>
      </c>
      <c r="F27" s="3">
        <f t="shared" si="1"/>
        <v>7.1999999999999993</v>
      </c>
    </row>
    <row r="28" spans="1:6" ht="12.75" x14ac:dyDescent="0.2">
      <c r="A28" s="3">
        <v>25</v>
      </c>
      <c r="B28" s="5" t="s">
        <v>48</v>
      </c>
      <c r="C28" s="7" t="s">
        <v>56</v>
      </c>
      <c r="D28" s="3">
        <v>35</v>
      </c>
      <c r="E28" s="3">
        <v>0.6</v>
      </c>
      <c r="F28" s="3">
        <f t="shared" si="1"/>
        <v>21</v>
      </c>
    </row>
    <row r="29" spans="1:6" ht="12.75" x14ac:dyDescent="0.2">
      <c r="A29" s="3">
        <v>26</v>
      </c>
      <c r="B29" s="5" t="s">
        <v>48</v>
      </c>
      <c r="C29" s="7" t="s">
        <v>55</v>
      </c>
      <c r="D29" s="3">
        <v>12</v>
      </c>
      <c r="E29" s="3">
        <v>0.6</v>
      </c>
      <c r="F29" s="3">
        <f t="shared" si="1"/>
        <v>7.1999999999999993</v>
      </c>
    </row>
    <row r="30" spans="1:6" ht="12.75" x14ac:dyDescent="0.2">
      <c r="A30" s="3">
        <v>27</v>
      </c>
      <c r="B30" s="16" t="s">
        <v>57</v>
      </c>
      <c r="C30" s="10" t="s">
        <v>58</v>
      </c>
      <c r="D30" s="3">
        <v>10</v>
      </c>
      <c r="E30" s="3">
        <v>5</v>
      </c>
      <c r="F30" s="3">
        <f t="shared" si="1"/>
        <v>50</v>
      </c>
    </row>
    <row r="31" spans="1:6" ht="25.5" x14ac:dyDescent="0.2">
      <c r="A31" s="3">
        <v>28</v>
      </c>
      <c r="B31" s="5" t="s">
        <v>48</v>
      </c>
      <c r="C31" s="7" t="s">
        <v>59</v>
      </c>
      <c r="D31" s="3">
        <v>8</v>
      </c>
      <c r="E31" s="3">
        <v>6.5</v>
      </c>
      <c r="F31" s="3">
        <f t="shared" si="1"/>
        <v>52</v>
      </c>
    </row>
    <row r="32" spans="1:6" ht="12.75" x14ac:dyDescent="0.2">
      <c r="A32" s="3">
        <v>29</v>
      </c>
      <c r="B32" s="5" t="s">
        <v>48</v>
      </c>
      <c r="C32" s="7" t="s">
        <v>60</v>
      </c>
      <c r="D32" s="3">
        <v>8</v>
      </c>
      <c r="E32" s="3">
        <v>2.5</v>
      </c>
      <c r="F32" s="3">
        <f t="shared" si="1"/>
        <v>20</v>
      </c>
    </row>
    <row r="33" spans="1:6" ht="25.5" x14ac:dyDescent="0.2">
      <c r="A33" s="3">
        <v>30</v>
      </c>
      <c r="B33" s="5" t="s">
        <v>61</v>
      </c>
      <c r="C33" s="7" t="s">
        <v>62</v>
      </c>
      <c r="D33" s="3">
        <v>1</v>
      </c>
      <c r="E33" s="3">
        <v>950</v>
      </c>
      <c r="F33" s="3">
        <f t="shared" si="1"/>
        <v>950</v>
      </c>
    </row>
    <row r="34" spans="1:6" ht="12.75" x14ac:dyDescent="0.2">
      <c r="A34" s="3">
        <v>31</v>
      </c>
      <c r="B34" s="5" t="s">
        <v>63</v>
      </c>
      <c r="C34" s="7" t="s">
        <v>64</v>
      </c>
      <c r="D34" s="3">
        <v>1</v>
      </c>
      <c r="E34" s="3">
        <v>180</v>
      </c>
      <c r="F34" s="3">
        <f t="shared" si="1"/>
        <v>180</v>
      </c>
    </row>
    <row r="35" spans="1:6" ht="25.5" x14ac:dyDescent="0.2">
      <c r="A35" s="3">
        <v>32</v>
      </c>
      <c r="B35" s="5" t="s">
        <v>65</v>
      </c>
      <c r="C35" s="7" t="s">
        <v>66</v>
      </c>
      <c r="D35" s="3">
        <v>1</v>
      </c>
      <c r="E35" s="3">
        <v>860</v>
      </c>
      <c r="F35" s="3">
        <f t="shared" si="1"/>
        <v>860</v>
      </c>
    </row>
    <row r="36" spans="1:6" ht="38.25" x14ac:dyDescent="0.2">
      <c r="A36" s="3">
        <v>33</v>
      </c>
      <c r="B36" s="5" t="s">
        <v>65</v>
      </c>
      <c r="C36" s="7" t="s">
        <v>67</v>
      </c>
      <c r="D36" s="3">
        <v>1</v>
      </c>
      <c r="E36" s="3">
        <v>325</v>
      </c>
      <c r="F36" s="3">
        <f t="shared" si="1"/>
        <v>325</v>
      </c>
    </row>
    <row r="37" spans="1:6" ht="38.25" x14ac:dyDescent="0.2">
      <c r="A37" s="3">
        <v>34</v>
      </c>
      <c r="B37" s="5" t="s">
        <v>68</v>
      </c>
      <c r="C37" s="7" t="s">
        <v>69</v>
      </c>
      <c r="D37" s="3">
        <v>1</v>
      </c>
      <c r="E37" s="3">
        <v>180</v>
      </c>
      <c r="F37" s="3">
        <f t="shared" si="1"/>
        <v>180</v>
      </c>
    </row>
    <row r="38" spans="1:6" ht="25.5" x14ac:dyDescent="0.2">
      <c r="A38" s="3">
        <v>35</v>
      </c>
      <c r="B38" s="5" t="s">
        <v>70</v>
      </c>
      <c r="C38" s="7" t="s">
        <v>71</v>
      </c>
      <c r="D38" s="3">
        <v>6</v>
      </c>
      <c r="E38" s="3">
        <v>15</v>
      </c>
      <c r="F38" s="3">
        <f t="shared" si="1"/>
        <v>90</v>
      </c>
    </row>
    <row r="39" spans="1:6" ht="15.75" customHeight="1" x14ac:dyDescent="0.2">
      <c r="A39" s="3">
        <v>36</v>
      </c>
      <c r="B39" s="5" t="s">
        <v>72</v>
      </c>
      <c r="C39" s="7" t="s">
        <v>73</v>
      </c>
      <c r="D39" s="3">
        <v>1</v>
      </c>
      <c r="E39" s="3">
        <v>330</v>
      </c>
      <c r="F39" s="3">
        <f t="shared" si="1"/>
        <v>330</v>
      </c>
    </row>
    <row r="40" spans="1:6" ht="15.75" customHeight="1" x14ac:dyDescent="0.25">
      <c r="A40" s="19" t="s">
        <v>74</v>
      </c>
      <c r="B40" s="20"/>
      <c r="C40" s="20"/>
      <c r="D40" s="20"/>
    </row>
    <row r="41" spans="1:6" ht="12.75" x14ac:dyDescent="0.2">
      <c r="A41" s="3">
        <v>37</v>
      </c>
      <c r="B41" s="5" t="s">
        <v>75</v>
      </c>
      <c r="C41" s="7" t="s">
        <v>76</v>
      </c>
      <c r="D41" s="3">
        <v>1</v>
      </c>
      <c r="E41" s="3">
        <v>60</v>
      </c>
      <c r="F41" s="3">
        <f t="shared" ref="F41:F46" si="2">E41*D41</f>
        <v>60</v>
      </c>
    </row>
    <row r="42" spans="1:6" ht="25.5" x14ac:dyDescent="0.2">
      <c r="A42" s="3">
        <v>38</v>
      </c>
      <c r="B42" s="5" t="s">
        <v>77</v>
      </c>
      <c r="C42" s="7" t="s">
        <v>78</v>
      </c>
      <c r="D42" s="3">
        <v>45</v>
      </c>
      <c r="E42" s="3">
        <v>32</v>
      </c>
      <c r="F42" s="3">
        <f t="shared" si="2"/>
        <v>1440</v>
      </c>
    </row>
    <row r="43" spans="1:6" ht="38.25" x14ac:dyDescent="0.2">
      <c r="A43" s="3">
        <v>39</v>
      </c>
      <c r="B43" s="5" t="s">
        <v>79</v>
      </c>
      <c r="C43" s="7" t="s">
        <v>80</v>
      </c>
      <c r="D43" s="3">
        <v>40</v>
      </c>
      <c r="E43" s="3">
        <v>46</v>
      </c>
      <c r="F43" s="3">
        <f t="shared" si="2"/>
        <v>1840</v>
      </c>
    </row>
    <row r="44" spans="1:6" ht="25.5" x14ac:dyDescent="0.2">
      <c r="A44" s="3">
        <v>40</v>
      </c>
      <c r="B44" s="5" t="s">
        <v>81</v>
      </c>
      <c r="C44" s="7" t="s">
        <v>82</v>
      </c>
      <c r="D44" s="3">
        <v>4</v>
      </c>
      <c r="E44" s="3">
        <v>198</v>
      </c>
      <c r="F44" s="3">
        <f t="shared" si="2"/>
        <v>792</v>
      </c>
    </row>
    <row r="45" spans="1:6" ht="25.5" x14ac:dyDescent="0.2">
      <c r="A45" s="3">
        <v>41</v>
      </c>
      <c r="B45" s="5" t="s">
        <v>83</v>
      </c>
      <c r="C45" s="7" t="s">
        <v>84</v>
      </c>
      <c r="D45" s="3">
        <v>30</v>
      </c>
      <c r="E45" s="3">
        <v>2.5</v>
      </c>
      <c r="F45" s="3">
        <f t="shared" si="2"/>
        <v>75</v>
      </c>
    </row>
    <row r="46" spans="1:6" ht="25.5" x14ac:dyDescent="0.2">
      <c r="A46" s="3">
        <v>42</v>
      </c>
      <c r="B46" s="5" t="s">
        <v>85</v>
      </c>
      <c r="C46" s="7" t="s">
        <v>86</v>
      </c>
      <c r="D46" s="3">
        <v>110</v>
      </c>
      <c r="E46" s="3">
        <v>14</v>
      </c>
      <c r="F46" s="3">
        <f t="shared" si="2"/>
        <v>1540</v>
      </c>
    </row>
    <row r="47" spans="1:6" ht="18" x14ac:dyDescent="0.25">
      <c r="A47" s="19" t="s">
        <v>87</v>
      </c>
      <c r="B47" s="20"/>
      <c r="C47" s="20"/>
      <c r="D47" s="20"/>
    </row>
    <row r="48" spans="1:6" ht="63.75" x14ac:dyDescent="0.2">
      <c r="A48" s="3">
        <v>43</v>
      </c>
      <c r="B48" s="5" t="s">
        <v>88</v>
      </c>
      <c r="C48" s="7" t="s">
        <v>89</v>
      </c>
      <c r="D48" s="3">
        <v>1</v>
      </c>
      <c r="E48" s="3">
        <v>115</v>
      </c>
      <c r="F48" s="3">
        <f t="shared" ref="F48:F53" si="3">E48*D48</f>
        <v>115</v>
      </c>
    </row>
    <row r="49" spans="1:6" ht="12.75" x14ac:dyDescent="0.2">
      <c r="A49" s="3">
        <v>44</v>
      </c>
      <c r="B49" s="5" t="s">
        <v>90</v>
      </c>
      <c r="C49" s="7" t="s">
        <v>91</v>
      </c>
      <c r="D49" s="3">
        <v>10</v>
      </c>
      <c r="E49" s="3">
        <v>9</v>
      </c>
      <c r="F49" s="3">
        <f t="shared" si="3"/>
        <v>90</v>
      </c>
    </row>
    <row r="50" spans="1:6" ht="25.5" x14ac:dyDescent="0.2">
      <c r="A50" s="3">
        <v>45</v>
      </c>
      <c r="B50" s="5" t="s">
        <v>92</v>
      </c>
      <c r="C50" s="7" t="s">
        <v>112</v>
      </c>
      <c r="D50" s="3">
        <v>1</v>
      </c>
      <c r="E50" s="3">
        <v>30</v>
      </c>
      <c r="F50" s="3">
        <f t="shared" si="3"/>
        <v>30</v>
      </c>
    </row>
    <row r="51" spans="1:6" ht="25.5" x14ac:dyDescent="0.2">
      <c r="A51" s="3">
        <v>46</v>
      </c>
      <c r="B51" s="5" t="s">
        <v>93</v>
      </c>
      <c r="C51" s="7" t="s">
        <v>94</v>
      </c>
      <c r="D51" s="3">
        <v>2</v>
      </c>
      <c r="E51" s="3">
        <v>12</v>
      </c>
      <c r="F51" s="3">
        <f t="shared" si="3"/>
        <v>24</v>
      </c>
    </row>
    <row r="52" spans="1:6" ht="12.75" x14ac:dyDescent="0.2">
      <c r="A52" s="3">
        <v>47</v>
      </c>
      <c r="B52" s="6" t="s">
        <v>95</v>
      </c>
      <c r="C52" s="12" t="s">
        <v>96</v>
      </c>
      <c r="D52" s="3">
        <v>5</v>
      </c>
      <c r="E52" s="3">
        <v>25</v>
      </c>
      <c r="F52" s="3">
        <f t="shared" si="3"/>
        <v>125</v>
      </c>
    </row>
    <row r="53" spans="1:6" ht="12.75" x14ac:dyDescent="0.2">
      <c r="A53" s="3">
        <v>48</v>
      </c>
      <c r="B53" s="6" t="s">
        <v>97</v>
      </c>
      <c r="C53" s="12" t="s">
        <v>98</v>
      </c>
      <c r="D53" s="3">
        <v>1</v>
      </c>
      <c r="E53" s="3">
        <v>25</v>
      </c>
      <c r="F53" s="3">
        <f t="shared" si="3"/>
        <v>25</v>
      </c>
    </row>
    <row r="54" spans="1:6" ht="18" x14ac:dyDescent="0.25">
      <c r="A54" s="19" t="s">
        <v>99</v>
      </c>
      <c r="B54" s="20"/>
      <c r="C54" s="20"/>
      <c r="D54" s="20"/>
    </row>
    <row r="55" spans="1:6" ht="140.25" x14ac:dyDescent="0.2">
      <c r="A55" s="5">
        <v>49</v>
      </c>
      <c r="B55" s="5" t="s">
        <v>99</v>
      </c>
      <c r="C55" s="21" t="s">
        <v>100</v>
      </c>
      <c r="D55" s="1">
        <v>1</v>
      </c>
      <c r="E55" s="1">
        <v>1980</v>
      </c>
      <c r="F55" s="3">
        <f>E55*D55</f>
        <v>1980</v>
      </c>
    </row>
    <row r="56" spans="1:6" ht="25.5" x14ac:dyDescent="0.2">
      <c r="A56" s="6">
        <v>50</v>
      </c>
      <c r="B56" s="6" t="s">
        <v>101</v>
      </c>
      <c r="C56" s="8" t="s">
        <v>102</v>
      </c>
      <c r="D56" s="1">
        <v>1</v>
      </c>
      <c r="E56" s="1">
        <v>160</v>
      </c>
      <c r="F56" s="3">
        <f>E56*D56</f>
        <v>160</v>
      </c>
    </row>
    <row r="57" spans="1:6" ht="38.25" x14ac:dyDescent="0.2">
      <c r="A57" s="5">
        <v>51</v>
      </c>
      <c r="B57" s="6" t="s">
        <v>103</v>
      </c>
      <c r="C57" s="8" t="s">
        <v>104</v>
      </c>
      <c r="D57" s="1">
        <v>1</v>
      </c>
      <c r="E57" s="1">
        <v>450</v>
      </c>
      <c r="F57" s="3">
        <f>E57*D57</f>
        <v>450</v>
      </c>
    </row>
    <row r="58" spans="1:6" ht="25.5" x14ac:dyDescent="0.2">
      <c r="A58" s="6">
        <v>52</v>
      </c>
      <c r="B58" s="6" t="s">
        <v>105</v>
      </c>
      <c r="C58" s="8" t="s">
        <v>106</v>
      </c>
      <c r="D58" s="4">
        <v>1</v>
      </c>
      <c r="E58" s="4"/>
      <c r="F58" s="4"/>
    </row>
    <row r="59" spans="1:6" ht="114.75" x14ac:dyDescent="0.2">
      <c r="A59" s="5">
        <v>53</v>
      </c>
      <c r="B59" s="6" t="s">
        <v>107</v>
      </c>
      <c r="C59" s="8" t="s">
        <v>108</v>
      </c>
      <c r="D59" s="6" t="s">
        <v>109</v>
      </c>
      <c r="E59" s="6"/>
      <c r="F59" s="6"/>
    </row>
    <row r="60" spans="1:6" ht="25.5" x14ac:dyDescent="0.2">
      <c r="A60" s="6">
        <v>54</v>
      </c>
      <c r="B60" s="17" t="s">
        <v>110</v>
      </c>
      <c r="C60" s="13" t="s">
        <v>111</v>
      </c>
      <c r="D60" s="9"/>
      <c r="E60" s="9"/>
      <c r="F60" s="9"/>
    </row>
    <row r="61" spans="1:6" ht="15.75" customHeight="1" x14ac:dyDescent="0.2">
      <c r="F61">
        <f>SUM(F3:F59)</f>
        <v>15751.4</v>
      </c>
    </row>
  </sheetData>
  <mergeCells count="5">
    <mergeCell ref="A1:C1"/>
    <mergeCell ref="A21:D21"/>
    <mergeCell ref="A40:D40"/>
    <mergeCell ref="A47:D47"/>
    <mergeCell ref="A54:D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 BOQ- Hidd -sound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Raza Javed  Nexcel</cp:lastModifiedBy>
  <cp:revision/>
  <dcterms:created xsi:type="dcterms:W3CDTF">2026-02-24T10:29:14Z</dcterms:created>
  <dcterms:modified xsi:type="dcterms:W3CDTF">2026-03-04T09:13:12Z</dcterms:modified>
  <cp:category/>
  <cp:contentStatus/>
</cp:coreProperties>
</file>